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D518749D958F0F/"/>
    </mc:Choice>
  </mc:AlternateContent>
  <xr:revisionPtr revIDLastSave="0" documentId="8_{75379DD5-8EF7-43B6-AF95-1B3CD06DA7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transactions" sheetId="2" r:id="rId2"/>
    <sheet name="categor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 s="1"/>
  <c r="C4" i="1"/>
  <c r="G5" i="2"/>
  <c r="G6" i="2"/>
  <c r="G7" i="2"/>
  <c r="G8" i="2"/>
  <c r="G9" i="2"/>
  <c r="G10" i="2"/>
  <c r="G11" i="2"/>
  <c r="G12" i="2"/>
  <c r="I4" i="1" l="1"/>
</calcChain>
</file>

<file path=xl/sharedStrings.xml><?xml version="1.0" encoding="utf-8"?>
<sst xmlns="http://schemas.openxmlformats.org/spreadsheetml/2006/main" count="70" uniqueCount="52">
  <si>
    <t xml:space="preserve">                  PERSONAL BUDGET DASHBOARD - 2026</t>
  </si>
  <si>
    <t xml:space="preserve">TOTAL INCOME </t>
  </si>
  <si>
    <t xml:space="preserve">TOTAL SPENT </t>
  </si>
  <si>
    <t>TOTAL SAVED</t>
  </si>
  <si>
    <t>SAVINGS RATE</t>
  </si>
  <si>
    <t xml:space="preserve">BALANCE </t>
  </si>
  <si>
    <t xml:space="preserve">                       TANSACTION LOG _____________March 2026</t>
  </si>
  <si>
    <t>MONTHLY INCOME</t>
  </si>
  <si>
    <t>Date</t>
  </si>
  <si>
    <t>Category</t>
  </si>
  <si>
    <t>Amount</t>
  </si>
  <si>
    <t>Notes</t>
  </si>
  <si>
    <t>Total</t>
  </si>
  <si>
    <t>Food</t>
  </si>
  <si>
    <t>groceries</t>
  </si>
  <si>
    <t>transport</t>
  </si>
  <si>
    <t>autoride</t>
  </si>
  <si>
    <t>Transport</t>
  </si>
  <si>
    <t>shopping</t>
  </si>
  <si>
    <t>shirt</t>
  </si>
  <si>
    <t>Shopping</t>
  </si>
  <si>
    <t>gym supplements</t>
  </si>
  <si>
    <t>Entertainment</t>
  </si>
  <si>
    <t>movie and games</t>
  </si>
  <si>
    <t xml:space="preserve">Utilities </t>
  </si>
  <si>
    <t>chicken</t>
  </si>
  <si>
    <t>savings</t>
  </si>
  <si>
    <t>from pocket money</t>
  </si>
  <si>
    <t>other</t>
  </si>
  <si>
    <t>entertainment</t>
  </si>
  <si>
    <t>netflix</t>
  </si>
  <si>
    <t>gym essentials</t>
  </si>
  <si>
    <t xml:space="preserve">EXPENSE CATEGORIES REFERENCES </t>
  </si>
  <si>
    <t>Expense Categories</t>
  </si>
  <si>
    <t>Type</t>
  </si>
  <si>
    <t>Description</t>
  </si>
  <si>
    <t>Essentials</t>
  </si>
  <si>
    <t>Groceries, dining, food delivery</t>
  </si>
  <si>
    <t>fuel, auto, cab, public transport</t>
  </si>
  <si>
    <t>Discretionary</t>
  </si>
  <si>
    <t>clothing, gadgets, personal items</t>
  </si>
  <si>
    <t>Movies, OTT subscriptions,outings</t>
  </si>
  <si>
    <t>Utilities</t>
  </si>
  <si>
    <t xml:space="preserve">Electricity, phone, internet bills </t>
  </si>
  <si>
    <t>Savings</t>
  </si>
  <si>
    <t>Priority</t>
  </si>
  <si>
    <t>SIP, FD, emergency</t>
  </si>
  <si>
    <t>Other</t>
  </si>
  <si>
    <t>Miscellaneous</t>
  </si>
  <si>
    <t xml:space="preserve">Any expenses not in above category </t>
  </si>
  <si>
    <t>Color Ledgend:</t>
  </si>
  <si>
    <t>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</si>
</sst>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9]\ 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b/>
      <sz val="11"/>
      <color rgb="FF000000"/>
      <name val="Calibri"/>
      <scheme val="minor"/>
    </font>
    <font>
      <b/>
      <sz val="20"/>
      <color theme="0"/>
      <name val="Calibri"/>
      <scheme val="minor"/>
    </font>
    <font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5" fillId="0" borderId="0" xfId="0" applyFont="1"/>
    <xf numFmtId="0" fontId="1" fillId="0" borderId="0" xfId="0" applyFont="1"/>
    <xf numFmtId="0" fontId="7" fillId="2" borderId="0" xfId="0" applyFont="1" applyFill="1"/>
    <xf numFmtId="0" fontId="8" fillId="2" borderId="0" xfId="0" applyFont="1" applyFill="1"/>
    <xf numFmtId="0" fontId="3" fillId="4" borderId="3" xfId="0" applyFont="1" applyFill="1" applyBorder="1"/>
    <xf numFmtId="0" fontId="3" fillId="6" borderId="3" xfId="0" applyFont="1" applyFill="1" applyBorder="1"/>
    <xf numFmtId="0" fontId="3" fillId="5" borderId="3" xfId="0" applyFont="1" applyFill="1" applyBorder="1"/>
    <xf numFmtId="0" fontId="3" fillId="4" borderId="2" xfId="0" applyFont="1" applyFill="1" applyBorder="1"/>
    <xf numFmtId="0" fontId="3" fillId="6" borderId="2" xfId="0" applyFont="1" applyFill="1" applyBorder="1"/>
    <xf numFmtId="0" fontId="3" fillId="5" borderId="2" xfId="0" applyFont="1" applyFill="1" applyBorder="1"/>
    <xf numFmtId="0" fontId="0" fillId="4" borderId="3" xfId="0" applyFill="1" applyBorder="1"/>
    <xf numFmtId="0" fontId="0" fillId="6" borderId="3" xfId="0" applyFill="1" applyBorder="1"/>
    <xf numFmtId="0" fontId="0" fillId="5" borderId="3" xfId="0" applyFill="1" applyBorder="1"/>
    <xf numFmtId="0" fontId="2" fillId="2" borderId="4" xfId="0" applyFont="1" applyFill="1" applyBorder="1"/>
    <xf numFmtId="0" fontId="4" fillId="2" borderId="5" xfId="0" applyFont="1" applyFill="1" applyBorder="1"/>
    <xf numFmtId="0" fontId="6" fillId="2" borderId="5" xfId="0" applyFont="1" applyFill="1" applyBorder="1"/>
    <xf numFmtId="0" fontId="3" fillId="7" borderId="6" xfId="0" applyFont="1" applyFill="1" applyBorder="1"/>
    <xf numFmtId="0" fontId="3" fillId="7" borderId="7" xfId="0" applyFont="1" applyFill="1" applyBorder="1"/>
    <xf numFmtId="0" fontId="0" fillId="8" borderId="7" xfId="0" applyFill="1" applyBorder="1"/>
    <xf numFmtId="0" fontId="3" fillId="8" borderId="1" xfId="0" applyFont="1" applyFill="1" applyBorder="1"/>
    <xf numFmtId="0" fontId="0" fillId="9" borderId="0" xfId="0" applyFill="1"/>
    <xf numFmtId="0" fontId="0" fillId="10" borderId="0" xfId="0" applyFill="1"/>
    <xf numFmtId="0" fontId="10" fillId="10" borderId="0" xfId="0" applyFont="1" applyFill="1"/>
    <xf numFmtId="15" fontId="1" fillId="4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5" fontId="1" fillId="6" borderId="1" xfId="0" applyNumberFormat="1" applyFont="1" applyFill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15" fontId="1" fillId="6" borderId="8" xfId="0" applyNumberFormat="1" applyFont="1" applyFill="1" applyBorder="1"/>
    <xf numFmtId="0" fontId="1" fillId="6" borderId="8" xfId="0" applyFont="1" applyFill="1" applyBorder="1"/>
    <xf numFmtId="164" fontId="1" fillId="6" borderId="8" xfId="0" applyNumberFormat="1" applyFont="1" applyFill="1" applyBorder="1"/>
    <xf numFmtId="15" fontId="1" fillId="5" borderId="1" xfId="0" applyNumberFormat="1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0" fontId="11" fillId="11" borderId="9" xfId="0" applyFont="1" applyFill="1" applyBorder="1" applyAlignment="1">
      <alignment vertical="center"/>
    </xf>
    <xf numFmtId="0" fontId="11" fillId="12" borderId="9" xfId="0" applyFont="1" applyFill="1" applyBorder="1"/>
    <xf numFmtId="0" fontId="11" fillId="13" borderId="9" xfId="0" applyFont="1" applyFill="1" applyBorder="1"/>
    <xf numFmtId="0" fontId="11" fillId="14" borderId="9" xfId="0" applyFont="1" applyFill="1" applyBorder="1"/>
    <xf numFmtId="0" fontId="11" fillId="15" borderId="9" xfId="0" applyFont="1" applyFill="1" applyBorder="1"/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16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0" fontId="12" fillId="0" borderId="9" xfId="0" applyNumberFormat="1" applyFont="1" applyBorder="1" applyAlignment="1">
      <alignment horizontal="center"/>
    </xf>
    <xf numFmtId="0" fontId="9" fillId="16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transactions!$G$4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7A-4FD6-A3B1-6C53B8721F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7A-4FD6-A3B1-6C53B8721F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7A-4FD6-A3B1-6C53B8721F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57A-4FD6-A3B1-6C53B8721F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57A-4FD6-A3B1-6C53B8721F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57A-4FD6-A3B1-6C53B8721F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57A-4FD6-A3B1-6C53B8721FB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transactions!$F$5:$F$11</c:f>
              <c:strCache>
                <c:ptCount val="7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Entertainment</c:v>
                </c:pt>
                <c:pt idx="4">
                  <c:v>Utilities </c:v>
                </c:pt>
                <c:pt idx="5">
                  <c:v>savings</c:v>
                </c:pt>
                <c:pt idx="6">
                  <c:v>other</c:v>
                </c:pt>
              </c:strCache>
            </c:strRef>
          </c:cat>
          <c:val>
            <c:numRef>
              <c:f>transactions!$G$5:$G$11</c:f>
              <c:numCache>
                <c:formatCode>[$₹-449]\ #,##0.00</c:formatCode>
                <c:ptCount val="7"/>
                <c:pt idx="0">
                  <c:v>750</c:v>
                </c:pt>
                <c:pt idx="1">
                  <c:v>100</c:v>
                </c:pt>
                <c:pt idx="2">
                  <c:v>3000</c:v>
                </c:pt>
                <c:pt idx="3">
                  <c:v>1950</c:v>
                </c:pt>
                <c:pt idx="4">
                  <c:v>0</c:v>
                </c:pt>
                <c:pt idx="5">
                  <c:v>1200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57A-4FD6-A3B1-6C53B8721FB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996470</xdr:colOff>
      <xdr:row>8</xdr:row>
      <xdr:rowOff>37042</xdr:rowOff>
    </xdr:from>
    <xdr:to>
      <xdr:col>7</xdr:col>
      <xdr:colOff>15394</xdr:colOff>
      <xdr:row>22</xdr:row>
      <xdr:rowOff>65617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FE11B-E9D6-97C6-C755-7B6C6E4F1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F2E29E-A298-4E55-8AF3-CE2ED33E67BC}" name="Table2" displayName="Table2" ref="A3:C10" totalsRowShown="0" headerRowBorderDxfId="1" tableBorderDxfId="2" totalsRowBorderDxfId="0">
  <autoFilter ref="A3:C10" xr:uid="{A6F2E29E-A298-4E55-8AF3-CE2ED33E67BC}"/>
  <tableColumns count="3">
    <tableColumn id="1" xr3:uid="{1E4DA7BB-DF1B-47C2-83CA-E64A33107DC0}" name="Expense Categories"/>
    <tableColumn id="2" xr3:uid="{0DD63398-B69C-4C0B-9A29-1970B372BA58}" name="Type"/>
    <tableColumn id="3" xr3:uid="{962005F3-2A55-4260-B7BD-364CA810BC43}" name="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53" zoomScaleNormal="100" workbookViewId="0">
      <selection activeCell="E4" sqref="E4"/>
    </sheetView>
  </sheetViews>
  <sheetFormatPr defaultRowHeight="14.45"/>
  <cols>
    <col min="1" max="1" width="25.42578125" style="1" customWidth="1"/>
    <col min="2" max="2" width="13.140625" style="1" customWidth="1"/>
    <col min="3" max="3" width="23.85546875" customWidth="1"/>
    <col min="5" max="5" width="24.42578125" customWidth="1"/>
    <col min="7" max="7" width="20" customWidth="1"/>
    <col min="9" max="9" width="19.7109375" customWidth="1"/>
  </cols>
  <sheetData>
    <row r="1" spans="1:11" s="54" customFormat="1" ht="26.1">
      <c r="A1" s="58" t="s">
        <v>0</v>
      </c>
      <c r="B1" s="58"/>
      <c r="C1" s="58"/>
      <c r="D1" s="58"/>
      <c r="E1" s="58"/>
      <c r="F1" s="58"/>
      <c r="G1" s="58"/>
      <c r="H1" s="58"/>
      <c r="I1" s="55"/>
      <c r="J1" s="55"/>
      <c r="K1" s="55"/>
    </row>
    <row r="3" spans="1:11" ht="18.600000000000001">
      <c r="A3" s="45" t="s">
        <v>1</v>
      </c>
      <c r="C3" s="46" t="s">
        <v>2</v>
      </c>
      <c r="E3" s="47" t="s">
        <v>3</v>
      </c>
      <c r="G3" s="48" t="s">
        <v>4</v>
      </c>
      <c r="I3" s="49" t="s">
        <v>5</v>
      </c>
    </row>
    <row r="4" spans="1:11" s="53" customFormat="1" ht="21">
      <c r="A4" s="50">
        <v>30000</v>
      </c>
      <c r="B4" s="51"/>
      <c r="C4" s="52">
        <f>SUMIF(transactions!B:B,"Food",transactions!C:C)+SUMIF(transactions!B:B,"Transport",transactions!C:C)+SUMIF(transactions!B:B,"Shopping",transactions!C:C)+SUMIF(transactions!B:B,"Entertainment",transactions!C:C)+SUMIF(transactions!B:B,"Utilities",transactions!C:C)+SUMIF(transactions!B:B,"Other",transactions!C:C)</f>
        <v>5800</v>
      </c>
      <c r="E4" s="52">
        <f>SUMIF(transactions!B:B,"Savings",transactions!C:C)</f>
        <v>1200</v>
      </c>
      <c r="G4" s="56">
        <f>IFERROR(E4/A4,0)</f>
        <v>0.04</v>
      </c>
      <c r="I4" s="52">
        <f>A4-C4-E4</f>
        <v>23000</v>
      </c>
    </row>
    <row r="6" spans="1:11">
      <c r="A6"/>
      <c r="B6"/>
    </row>
    <row r="7" spans="1:11">
      <c r="A7"/>
      <c r="B7"/>
    </row>
  </sheetData>
  <mergeCells count="1">
    <mergeCell ref="A1:H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799F-A028-4B85-8156-6877C5C4E4A9}">
  <dimension ref="A1:J14"/>
  <sheetViews>
    <sheetView zoomScale="60" workbookViewId="0">
      <selection activeCell="A2" sqref="A2"/>
    </sheetView>
  </sheetViews>
  <sheetFormatPr defaultRowHeight="14.45"/>
  <cols>
    <col min="1" max="1" width="12.5703125" customWidth="1"/>
    <col min="2" max="2" width="17.5703125" customWidth="1"/>
    <col min="3" max="3" width="15.7109375" style="2" customWidth="1"/>
    <col min="4" max="4" width="18" bestFit="1" customWidth="1"/>
    <col min="6" max="6" width="19.28515625" customWidth="1"/>
    <col min="7" max="7" width="20" bestFit="1" customWidth="1"/>
  </cols>
  <sheetData>
    <row r="1" spans="1:10" s="57" customFormat="1" ht="24" customHeight="1">
      <c r="A1" s="59" t="s">
        <v>6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5">
      <c r="A2" s="32" t="s">
        <v>7</v>
      </c>
      <c r="B2" s="31"/>
      <c r="C2" s="30">
        <v>3000</v>
      </c>
    </row>
    <row r="3" spans="1:10" ht="15"/>
    <row r="4" spans="1:10" ht="26.25" customHeight="1">
      <c r="A4" s="5" t="s">
        <v>8</v>
      </c>
      <c r="B4" s="5" t="s">
        <v>9</v>
      </c>
      <c r="C4" s="6" t="s">
        <v>10</v>
      </c>
      <c r="D4" s="5" t="s">
        <v>11</v>
      </c>
      <c r="F4" s="5" t="s">
        <v>9</v>
      </c>
      <c r="G4" s="5" t="s">
        <v>12</v>
      </c>
    </row>
    <row r="5" spans="1:10" ht="15" customHeight="1">
      <c r="A5" s="33">
        <v>46082</v>
      </c>
      <c r="B5" s="34" t="s">
        <v>13</v>
      </c>
      <c r="C5" s="35">
        <v>500</v>
      </c>
      <c r="D5" s="34" t="s">
        <v>14</v>
      </c>
      <c r="F5" s="3" t="s">
        <v>13</v>
      </c>
      <c r="G5" s="4">
        <f>SUMIF(B:B,"Food",C:C)</f>
        <v>750</v>
      </c>
    </row>
    <row r="6" spans="1:10" ht="15" customHeight="1">
      <c r="A6" s="33">
        <v>46083</v>
      </c>
      <c r="B6" s="34" t="s">
        <v>15</v>
      </c>
      <c r="C6" s="35">
        <v>100</v>
      </c>
      <c r="D6" s="34" t="s">
        <v>16</v>
      </c>
      <c r="F6" s="3" t="s">
        <v>17</v>
      </c>
      <c r="G6" s="4">
        <f>SUMIF(B:B,"transport",C:C)</f>
        <v>100</v>
      </c>
    </row>
    <row r="7" spans="1:10" ht="15" customHeight="1">
      <c r="A7" s="36">
        <v>46084</v>
      </c>
      <c r="B7" s="37" t="s">
        <v>18</v>
      </c>
      <c r="C7" s="38">
        <v>1500</v>
      </c>
      <c r="D7" s="37" t="s">
        <v>19</v>
      </c>
      <c r="F7" s="3" t="s">
        <v>20</v>
      </c>
      <c r="G7" s="4">
        <f>SUMIF(B:B,"shopping",C:C)</f>
        <v>3000</v>
      </c>
    </row>
    <row r="8" spans="1:10" ht="15" customHeight="1">
      <c r="A8" s="39">
        <v>46094</v>
      </c>
      <c r="B8" s="40" t="s">
        <v>18</v>
      </c>
      <c r="C8" s="41">
        <v>1500</v>
      </c>
      <c r="D8" s="40" t="s">
        <v>21</v>
      </c>
      <c r="F8" s="3" t="s">
        <v>22</v>
      </c>
      <c r="G8" s="4">
        <f>SUMIF(B:B,"Entertainment",C:C)</f>
        <v>1950</v>
      </c>
    </row>
    <row r="9" spans="1:10" ht="15" customHeight="1">
      <c r="A9" s="36">
        <v>46096</v>
      </c>
      <c r="B9" s="37" t="s">
        <v>22</v>
      </c>
      <c r="C9" s="38">
        <v>1200</v>
      </c>
      <c r="D9" s="37" t="s">
        <v>23</v>
      </c>
      <c r="F9" s="3" t="s">
        <v>24</v>
      </c>
      <c r="G9" s="4">
        <f>SUMIF(B:B,"utilities",C:C)</f>
        <v>0</v>
      </c>
    </row>
    <row r="10" spans="1:10" ht="15" customHeight="1">
      <c r="A10" s="33">
        <v>46093</v>
      </c>
      <c r="B10" s="34" t="s">
        <v>13</v>
      </c>
      <c r="C10" s="35">
        <v>250</v>
      </c>
      <c r="D10" s="34" t="s">
        <v>25</v>
      </c>
      <c r="F10" s="3" t="s">
        <v>26</v>
      </c>
      <c r="G10" s="4">
        <f>SUMIF(B:B,"savings",C:C)</f>
        <v>1200</v>
      </c>
    </row>
    <row r="11" spans="1:10" ht="15" customHeight="1">
      <c r="A11" s="42">
        <v>46098</v>
      </c>
      <c r="B11" s="43" t="s">
        <v>26</v>
      </c>
      <c r="C11" s="44">
        <v>1000</v>
      </c>
      <c r="D11" s="43" t="s">
        <v>27</v>
      </c>
      <c r="F11" s="3" t="s">
        <v>28</v>
      </c>
      <c r="G11" s="4">
        <f>SUMIF(B:B,"other",C:C)</f>
        <v>0</v>
      </c>
    </row>
    <row r="12" spans="1:10" ht="15" customHeight="1">
      <c r="A12" s="36">
        <v>46099</v>
      </c>
      <c r="B12" s="37" t="s">
        <v>29</v>
      </c>
      <c r="C12" s="38">
        <v>750</v>
      </c>
      <c r="D12" s="37" t="s">
        <v>30</v>
      </c>
      <c r="F12" s="3" t="s">
        <v>31</v>
      </c>
      <c r="G12" s="4">
        <f>SUMIF(B:B,"gym essentials",C:C)</f>
        <v>0</v>
      </c>
    </row>
    <row r="13" spans="1:10" ht="15" customHeight="1">
      <c r="A13" s="42">
        <v>46100</v>
      </c>
      <c r="B13" s="43" t="s">
        <v>26</v>
      </c>
      <c r="C13" s="44">
        <v>200</v>
      </c>
      <c r="D13" s="43" t="s">
        <v>27</v>
      </c>
    </row>
    <row r="14" spans="1:10" ht="15" customHeight="1"/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598D-4DF5-43CC-8701-AB8C68B28140}">
  <dimension ref="A1:D18"/>
  <sheetViews>
    <sheetView zoomScale="62" workbookViewId="0">
      <selection activeCell="B11" sqref="B11"/>
    </sheetView>
  </sheetViews>
  <sheetFormatPr defaultRowHeight="14.45"/>
  <cols>
    <col min="1" max="1" width="34.7109375" customWidth="1"/>
    <col min="2" max="2" width="28.7109375" customWidth="1"/>
    <col min="3" max="3" width="35.28515625" customWidth="1"/>
  </cols>
  <sheetData>
    <row r="1" spans="1:4" ht="33.6">
      <c r="B1" s="13" t="s">
        <v>32</v>
      </c>
      <c r="C1" s="12"/>
      <c r="D1" s="12"/>
    </row>
    <row r="2" spans="1:4">
      <c r="B2" s="11"/>
    </row>
    <row r="3" spans="1:4" ht="32.25" customHeight="1">
      <c r="A3" s="23" t="s">
        <v>33</v>
      </c>
      <c r="B3" s="24" t="s">
        <v>34</v>
      </c>
      <c r="C3" s="25" t="s">
        <v>35</v>
      </c>
    </row>
    <row r="4" spans="1:4" ht="15.75" customHeight="1">
      <c r="A4" s="17" t="s">
        <v>13</v>
      </c>
      <c r="B4" s="14" t="s">
        <v>36</v>
      </c>
      <c r="C4" s="20" t="s">
        <v>37</v>
      </c>
    </row>
    <row r="5" spans="1:4" ht="15.75" customHeight="1">
      <c r="A5" s="17" t="s">
        <v>17</v>
      </c>
      <c r="B5" s="14" t="s">
        <v>36</v>
      </c>
      <c r="C5" s="20" t="s">
        <v>38</v>
      </c>
    </row>
    <row r="6" spans="1:4" ht="15.75" customHeight="1">
      <c r="A6" s="18" t="s">
        <v>20</v>
      </c>
      <c r="B6" s="15" t="s">
        <v>39</v>
      </c>
      <c r="C6" s="21" t="s">
        <v>40</v>
      </c>
    </row>
    <row r="7" spans="1:4" ht="15.75" customHeight="1">
      <c r="A7" s="18" t="s">
        <v>22</v>
      </c>
      <c r="B7" s="15" t="s">
        <v>39</v>
      </c>
      <c r="C7" s="21" t="s">
        <v>41</v>
      </c>
    </row>
    <row r="8" spans="1:4" ht="15.75" customHeight="1">
      <c r="A8" s="17" t="s">
        <v>42</v>
      </c>
      <c r="B8" s="14" t="s">
        <v>36</v>
      </c>
      <c r="C8" s="20" t="s">
        <v>43</v>
      </c>
    </row>
    <row r="9" spans="1:4" ht="15.75" customHeight="1">
      <c r="A9" s="19" t="s">
        <v>44</v>
      </c>
      <c r="B9" s="16" t="s">
        <v>45</v>
      </c>
      <c r="C9" s="22" t="s">
        <v>46</v>
      </c>
    </row>
    <row r="10" spans="1:4" ht="15.75" customHeight="1">
      <c r="A10" s="26" t="s">
        <v>47</v>
      </c>
      <c r="B10" s="27" t="s">
        <v>48</v>
      </c>
      <c r="C10" s="28" t="s">
        <v>49</v>
      </c>
    </row>
    <row r="14" spans="1:4">
      <c r="A14" s="10" t="s">
        <v>50</v>
      </c>
    </row>
    <row r="15" spans="1:4" ht="15.6">
      <c r="A15" s="7" t="s">
        <v>51</v>
      </c>
    </row>
    <row r="16" spans="1:4" ht="15.6">
      <c r="A16" s="8" t="s">
        <v>45</v>
      </c>
    </row>
    <row r="17" spans="1:1" ht="15.6">
      <c r="A17" s="9" t="s">
        <v>39</v>
      </c>
    </row>
    <row r="18" spans="1:1" ht="15.6">
      <c r="A18" s="29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2026-03-26T17:41:24Z</dcterms:created>
  <dcterms:modified xsi:type="dcterms:W3CDTF">2026-03-28T18:12:38Z</dcterms:modified>
  <cp:category/>
  <cp:contentStatus/>
</cp:coreProperties>
</file>